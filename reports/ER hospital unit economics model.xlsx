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R Hospital Mod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<sst xmlns="http://schemas.openxmlformats.org/spreadsheetml/2006/main" count="91" uniqueCount="83">
  <si>
    <t xml:space="preserve">Single ER Hospital Model (VEG-style, one vet on duty 24/7)</t>
  </si>
  <si>
    <t xml:space="preserve">How to use: change the blue numbers in yellow cells (column B). Everything in black recalculates. Annual figures, steady state.</t>
  </si>
  <si>
    <t xml:space="preserve">REVENUE INPUTS</t>
  </si>
  <si>
    <t xml:space="preserve">Source / note</t>
  </si>
  <si>
    <t xml:space="preserve">Average bill per visit ($)</t>
  </si>
  <si>
    <t xml:space="preserve">Alicia's estimate (Oct 2026)</t>
  </si>
  <si>
    <t xml:space="preserve">Pets seen per day</t>
  </si>
  <si>
    <t xml:space="preserve">Assumption: sized so revenue lands in Alicia's $10-13M run-rate range</t>
  </si>
  <si>
    <t xml:space="preserve">Days open per year</t>
  </si>
  <si>
    <t xml:space="preserve">24/7/365</t>
  </si>
  <si>
    <t xml:space="preserve">STAFFING INPUTS</t>
  </si>
  <si>
    <t xml:space="preserve">Vets on duty at any time</t>
  </si>
  <si>
    <t xml:space="preserve">Alicia: one vet at a time</t>
  </si>
  <si>
    <t xml:space="preserve">Nurses / techs on duty at any time</t>
  </si>
  <si>
    <t xml:space="preserve">Alicia: 2-3 nurses</t>
  </si>
  <si>
    <t xml:space="preserve">Front desk / client care on duty at any time</t>
  </si>
  <si>
    <t xml:space="preserve">Assumption</t>
  </si>
  <si>
    <t xml:space="preserve">Hours open per week</t>
  </si>
  <si>
    <t xml:space="preserve">24 x 7</t>
  </si>
  <si>
    <t xml:space="preserve">Hours worked per full-time person per week</t>
  </si>
  <si>
    <t xml:space="preserve">Assumption: 3 x 12-hour shifts, common in ER postings</t>
  </si>
  <si>
    <t xml:space="preserve">Coverage factor (PTO, sick days, overlap)</t>
  </si>
  <si>
    <t xml:space="preserve">Assumption: +10% for time off</t>
  </si>
  <si>
    <t xml:space="preserve">Vet cost per full-time vet, incl. benefits &amp; bonus ($)</t>
  </si>
  <si>
    <t xml:space="preserve">Assumption: 2026 ER postings ~$150-325K base; Glassdoor median total ~$290K</t>
  </si>
  <si>
    <t xml:space="preserve">Nurse cost per FTE, incl. benefits ($)</t>
  </si>
  <si>
    <t xml:space="preserve">Assumption: Fairfield/Westchester credentialed tech, loaded</t>
  </si>
  <si>
    <t xml:space="preserve">Front desk cost per FTE, incl. benefits ($)</t>
  </si>
  <si>
    <t xml:space="preserve">Hospital manager ($)</t>
  </si>
  <si>
    <t xml:space="preserve">OTHER OPERATING INPUTS</t>
  </si>
  <si>
    <t xml:space="preserve">Drugs, supplies, outside lab (% of revenue)</t>
  </si>
  <si>
    <t xml:space="preserve">Assumption: typical vet COGS range ~18-25%</t>
  </si>
  <si>
    <t xml:space="preserve">Credit card fees (% of revenue)</t>
  </si>
  <si>
    <t xml:space="preserve">Square feet</t>
  </si>
  <si>
    <t xml:space="preserve">VEG sites are ~5,000 sq ft retail conversions</t>
  </si>
  <si>
    <t xml:space="preserve">Rent per sq ft per year ($)</t>
  </si>
  <si>
    <t xml:space="preserve">Assumption: NNN retail, CT/NY suburbs</t>
  </si>
  <si>
    <t xml:space="preserve">Other fixed costs ($/yr)</t>
  </si>
  <si>
    <t xml:space="preserve">Assumption: insurance, utilities, software, marketing, maintenance, recruiting</t>
  </si>
  <si>
    <t xml:space="preserve">Head-office / management fee (% of revenue)</t>
  </si>
  <si>
    <t xml:space="preserve">Assumption: set to 0% for a true standalone; MSO fees often run higher</t>
  </si>
  <si>
    <t xml:space="preserve">STARTUP INVESTMENT INPUTS</t>
  </si>
  <si>
    <t xml:space="preserve">Build-out cost per sq ft ($)</t>
  </si>
  <si>
    <t xml:space="preserve">Assumption: vet fit-out $225-450/sq ft; coastal metro premium (Terrapin, BuilderMuse 2026)</t>
  </si>
  <si>
    <t xml:space="preserve">Landlord build-out allowance ($)</t>
  </si>
  <si>
    <t xml:space="preserve">Enter if the landlord contributes (reduces your cash)</t>
  </si>
  <si>
    <t xml:space="preserve">Equipment ($)</t>
  </si>
  <si>
    <t xml:space="preserve">Assumption: ER equipment ~$300K-1M (Terrapin 2026)</t>
  </si>
  <si>
    <t xml:space="preserve">Pre-opening costs ($)</t>
  </si>
  <si>
    <t xml:space="preserve">Assumption: hiring ahead, sign-on bonuses, rent during build, licenses, IT</t>
  </si>
  <si>
    <t xml:space="preserve">Early losses while volume builds ($)</t>
  </si>
  <si>
    <t xml:space="preserve">Assumption: small, given near-immediate run rate per Alicia</t>
  </si>
  <si>
    <t xml:space="preserve">ANNUAL P&amp;L (steady state)</t>
  </si>
  <si>
    <t xml:space="preserve">Revenue</t>
  </si>
  <si>
    <t xml:space="preserve">  Vet FTEs needed</t>
  </si>
  <si>
    <t xml:space="preserve">  Nurse FTEs needed</t>
  </si>
  <si>
    <t xml:space="preserve">  Front desk FTEs needed</t>
  </si>
  <si>
    <t xml:space="preserve">Vet payroll</t>
  </si>
  <si>
    <t xml:space="preserve">Nurse payroll</t>
  </si>
  <si>
    <t xml:space="preserve">Front desk payroll</t>
  </si>
  <si>
    <t xml:space="preserve">Hospital manager</t>
  </si>
  <si>
    <t xml:space="preserve">Drugs, supplies, lab</t>
  </si>
  <si>
    <t xml:space="preserve">Card fees</t>
  </si>
  <si>
    <t xml:space="preserve">Rent</t>
  </si>
  <si>
    <t xml:space="preserve">Other fixed costs</t>
  </si>
  <si>
    <t xml:space="preserve">Head-office / management fee</t>
  </si>
  <si>
    <t xml:space="preserve">Total operating costs</t>
  </si>
  <si>
    <t xml:space="preserve">EBITDA (profit before interest, tax, depreciation)</t>
  </si>
  <si>
    <t xml:space="preserve">EBITDA margin</t>
  </si>
  <si>
    <t xml:space="preserve">Total payroll as % of revenue</t>
  </si>
  <si>
    <t xml:space="preserve">INVESTMENT &amp; RETURNS</t>
  </si>
  <si>
    <t xml:space="preserve">Build-out (net of landlord allowance)</t>
  </si>
  <si>
    <t xml:space="preserve">Total cash invested</t>
  </si>
  <si>
    <t xml:space="preserve">Payback (years of EBITDA)</t>
  </si>
  <si>
    <t xml:space="preserve">Annual cash return on investment</t>
  </si>
  <si>
    <t xml:space="preserve">Pre-tax, before debt service and taxes</t>
  </si>
  <si>
    <t xml:space="preserve">Break-even pets per day</t>
  </si>
  <si>
    <t xml:space="preserve">Pets/day where EBITDA = 0</t>
  </si>
  <si>
    <t xml:space="preserve">SENSITIVITY: EBITDA ($) by pets per day (rows) and average bill (columns)</t>
  </si>
  <si>
    <t xml:space="preserve">Pets/day  \  Average bill</t>
  </si>
  <si>
    <t xml:space="preserve">Fixed costs (payroll, rent, other) held constant;</t>
  </si>
  <si>
    <t xml:space="preserve">variable costs scale with revenue.</t>
  </si>
  <si>
    <t xml:space="preserve">Caveats: all inputs other than the bill and nurses-per-shift are assumptions, not published VEG figures. VEG does not disclose unit economics.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</si>
</sst>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#,##0.0;\(#,##0.0\);\-"/>
    <numFmt numFmtId="167" formatCode="#,##0;\(#,##0\);\-"/>
    <numFmt numFmtId="168" formatCode="0.00\x"/>
    <numFmt numFmtId="169" formatCode="0.0%;\(0.0%\);\-"/>
    <numFmt numFmtId="170" formatCode="0.0&quot; yrs&quot;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70"/>
    <col collapsed="false" customWidth="true" hidden="false" outlineLevel="0" max="9" min="4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3" t="s">
        <v>3</v>
      </c>
    </row>
    <row r="5" customFormat="false" ht="15" hidden="false" customHeight="false" outlineLevel="0" collapsed="false">
      <c r="A5" s="5" t="s">
        <v>4</v>
      </c>
      <c r="B5" s="6" t="n">
        <v>2000</v>
      </c>
      <c r="C5" s="7" t="s">
        <v>5</v>
      </c>
    </row>
    <row r="6" customFormat="false" ht="15" hidden="false" customHeight="false" outlineLevel="0" collapsed="false">
      <c r="A6" s="5" t="s">
        <v>6</v>
      </c>
      <c r="B6" s="8" t="n">
        <v>16</v>
      </c>
      <c r="C6" s="7" t="s">
        <v>7</v>
      </c>
    </row>
    <row r="7" customFormat="false" ht="15" hidden="false" customHeight="false" outlineLevel="0" collapsed="false">
      <c r="A7" s="5" t="s">
        <v>8</v>
      </c>
      <c r="B7" s="9" t="n">
        <v>365</v>
      </c>
      <c r="C7" s="7" t="s">
        <v>9</v>
      </c>
    </row>
    <row r="9" customFormat="false" ht="15" hidden="false" customHeight="false" outlineLevel="0" collapsed="false">
      <c r="A9" s="3" t="s">
        <v>10</v>
      </c>
      <c r="B9" s="4"/>
      <c r="C9" s="3" t="s">
        <v>3</v>
      </c>
    </row>
    <row r="10" customFormat="false" ht="15" hidden="false" customHeight="false" outlineLevel="0" collapsed="false">
      <c r="A10" s="5" t="s">
        <v>11</v>
      </c>
      <c r="B10" s="8" t="n">
        <v>1</v>
      </c>
      <c r="C10" s="7" t="s">
        <v>12</v>
      </c>
    </row>
    <row r="11" customFormat="false" ht="15" hidden="false" customHeight="false" outlineLevel="0" collapsed="false">
      <c r="A11" s="5" t="s">
        <v>13</v>
      </c>
      <c r="B11" s="8" t="n">
        <v>2.5</v>
      </c>
      <c r="C11" s="7" t="s">
        <v>14</v>
      </c>
    </row>
    <row r="12" customFormat="false" ht="15" hidden="false" customHeight="false" outlineLevel="0" collapsed="false">
      <c r="A12" s="5" t="s">
        <v>15</v>
      </c>
      <c r="B12" s="10" t="n">
        <v>1</v>
      </c>
      <c r="C12" s="7" t="s">
        <v>16</v>
      </c>
    </row>
    <row r="13" customFormat="false" ht="15" hidden="false" customHeight="false" outlineLevel="0" collapsed="false">
      <c r="A13" s="5" t="s">
        <v>17</v>
      </c>
      <c r="B13" s="9" t="n">
        <v>168</v>
      </c>
      <c r="C13" s="7" t="s">
        <v>18</v>
      </c>
    </row>
    <row r="14" customFormat="false" ht="15" hidden="false" customHeight="false" outlineLevel="0" collapsed="false">
      <c r="A14" s="5" t="s">
        <v>19</v>
      </c>
      <c r="B14" s="9" t="n">
        <v>36</v>
      </c>
      <c r="C14" s="7" t="s">
        <v>20</v>
      </c>
    </row>
    <row r="15" customFormat="false" ht="15" hidden="false" customHeight="false" outlineLevel="0" collapsed="false">
      <c r="A15" s="5" t="s">
        <v>21</v>
      </c>
      <c r="B15" s="11" t="n">
        <v>1.1</v>
      </c>
      <c r="C15" s="7" t="s">
        <v>22</v>
      </c>
    </row>
    <row r="16" customFormat="false" ht="15" hidden="false" customHeight="false" outlineLevel="0" collapsed="false">
      <c r="A16" s="5" t="s">
        <v>23</v>
      </c>
      <c r="B16" s="6" t="n">
        <v>300000</v>
      </c>
      <c r="C16" s="7" t="s">
        <v>24</v>
      </c>
    </row>
    <row r="17" customFormat="false" ht="15" hidden="false" customHeight="false" outlineLevel="0" collapsed="false">
      <c r="A17" s="5" t="s">
        <v>25</v>
      </c>
      <c r="B17" s="12" t="n">
        <v>80000</v>
      </c>
      <c r="C17" s="7" t="s">
        <v>26</v>
      </c>
    </row>
    <row r="18" customFormat="false" ht="15" hidden="false" customHeight="false" outlineLevel="0" collapsed="false">
      <c r="A18" s="5" t="s">
        <v>27</v>
      </c>
      <c r="B18" s="12" t="n">
        <v>55000</v>
      </c>
      <c r="C18" s="7" t="s">
        <v>16</v>
      </c>
    </row>
    <row r="19" customFormat="false" ht="15" hidden="false" customHeight="false" outlineLevel="0" collapsed="false">
      <c r="A19" s="5" t="s">
        <v>28</v>
      </c>
      <c r="B19" s="12" t="n">
        <v>150000</v>
      </c>
      <c r="C19" s="7" t="s">
        <v>16</v>
      </c>
    </row>
    <row r="21" customFormat="false" ht="15" hidden="false" customHeight="false" outlineLevel="0" collapsed="false">
      <c r="A21" s="3" t="s">
        <v>29</v>
      </c>
      <c r="B21" s="4"/>
      <c r="C21" s="3" t="s">
        <v>3</v>
      </c>
    </row>
    <row r="22" customFormat="false" ht="15" hidden="false" customHeight="false" outlineLevel="0" collapsed="false">
      <c r="A22" s="5" t="s">
        <v>30</v>
      </c>
      <c r="B22" s="13" t="n">
        <v>0.2</v>
      </c>
      <c r="C22" s="7" t="s">
        <v>31</v>
      </c>
    </row>
    <row r="23" customFormat="false" ht="15" hidden="false" customHeight="false" outlineLevel="0" collapsed="false">
      <c r="A23" s="5" t="s">
        <v>32</v>
      </c>
      <c r="B23" s="13" t="n">
        <v>0.03</v>
      </c>
      <c r="C23" s="7" t="s">
        <v>16</v>
      </c>
    </row>
    <row r="24" customFormat="false" ht="15" hidden="false" customHeight="false" outlineLevel="0" collapsed="false">
      <c r="A24" s="5" t="s">
        <v>33</v>
      </c>
      <c r="B24" s="9" t="n">
        <v>5000</v>
      </c>
      <c r="C24" s="7" t="s">
        <v>34</v>
      </c>
    </row>
    <row r="25" customFormat="false" ht="15" hidden="false" customHeight="false" outlineLevel="0" collapsed="false">
      <c r="A25" s="5" t="s">
        <v>35</v>
      </c>
      <c r="B25" s="12" t="n">
        <v>50</v>
      </c>
      <c r="C25" s="7" t="s">
        <v>36</v>
      </c>
    </row>
    <row r="26" customFormat="false" ht="15" hidden="false" customHeight="false" outlineLevel="0" collapsed="false">
      <c r="A26" s="5" t="s">
        <v>37</v>
      </c>
      <c r="B26" s="12" t="n">
        <v>600000</v>
      </c>
      <c r="C26" s="7" t="s">
        <v>38</v>
      </c>
    </row>
    <row r="27" customFormat="false" ht="15" hidden="false" customHeight="false" outlineLevel="0" collapsed="false">
      <c r="A27" s="5" t="s">
        <v>39</v>
      </c>
      <c r="B27" s="13" t="n">
        <v>0.05</v>
      </c>
      <c r="C27" s="7" t="s">
        <v>40</v>
      </c>
    </row>
    <row r="29" customFormat="false" ht="15" hidden="false" customHeight="false" outlineLevel="0" collapsed="false">
      <c r="A29" s="3" t="s">
        <v>41</v>
      </c>
      <c r="B29" s="4"/>
      <c r="C29" s="3" t="s">
        <v>3</v>
      </c>
    </row>
    <row r="30" customFormat="false" ht="15" hidden="false" customHeight="false" outlineLevel="0" collapsed="false">
      <c r="A30" s="5" t="s">
        <v>42</v>
      </c>
      <c r="B30" s="12" t="n">
        <v>350</v>
      </c>
      <c r="C30" s="7" t="s">
        <v>43</v>
      </c>
    </row>
    <row r="31" customFormat="false" ht="15" hidden="false" customHeight="false" outlineLevel="0" collapsed="false">
      <c r="A31" s="5" t="s">
        <v>44</v>
      </c>
      <c r="B31" s="12" t="n">
        <v>0</v>
      </c>
      <c r="C31" s="7" t="s">
        <v>45</v>
      </c>
    </row>
    <row r="32" customFormat="false" ht="15" hidden="false" customHeight="false" outlineLevel="0" collapsed="false">
      <c r="A32" s="5" t="s">
        <v>46</v>
      </c>
      <c r="B32" s="12" t="n">
        <v>750000</v>
      </c>
      <c r="C32" s="7" t="s">
        <v>47</v>
      </c>
    </row>
    <row r="33" customFormat="false" ht="15" hidden="false" customHeight="false" outlineLevel="0" collapsed="false">
      <c r="A33" s="5" t="s">
        <v>48</v>
      </c>
      <c r="B33" s="12" t="n">
        <v>400000</v>
      </c>
      <c r="C33" s="7" t="s">
        <v>49</v>
      </c>
    </row>
    <row r="34" customFormat="false" ht="15" hidden="false" customHeight="false" outlineLevel="0" collapsed="false">
      <c r="A34" s="5" t="s">
        <v>50</v>
      </c>
      <c r="B34" s="12" t="n">
        <v>250000</v>
      </c>
      <c r="C34" s="7" t="s">
        <v>51</v>
      </c>
    </row>
    <row r="36" customFormat="false" ht="15" hidden="false" customHeight="false" outlineLevel="0" collapsed="false">
      <c r="A36" s="3" t="s">
        <v>52</v>
      </c>
      <c r="B36" s="4"/>
      <c r="C36" s="3" t="s">
        <v>3</v>
      </c>
    </row>
    <row r="37" customFormat="false" ht="15" hidden="false" customHeight="false" outlineLevel="0" collapsed="false">
      <c r="A37" s="14" t="s">
        <v>53</v>
      </c>
      <c r="B37" s="15" t="n">
        <f aca="false">$B$5*$B$6*$B$7</f>
        <v>11680000</v>
      </c>
    </row>
    <row r="38" customFormat="false" ht="15" hidden="false" customHeight="false" outlineLevel="0" collapsed="false">
      <c r="A38" s="5" t="s">
        <v>54</v>
      </c>
      <c r="B38" s="16" t="n">
        <f aca="false">$B$10*$B$13/$B$14*$B$15</f>
        <v>5.13333333333333</v>
      </c>
    </row>
    <row r="39" customFormat="false" ht="15" hidden="false" customHeight="false" outlineLevel="0" collapsed="false">
      <c r="A39" s="5" t="s">
        <v>55</v>
      </c>
      <c r="B39" s="16" t="n">
        <f aca="false">$B$11*$B$13/$B$14*$B$15</f>
        <v>12.8333333333333</v>
      </c>
    </row>
    <row r="40" customFormat="false" ht="15" hidden="false" customHeight="false" outlineLevel="0" collapsed="false">
      <c r="A40" s="5" t="s">
        <v>56</v>
      </c>
      <c r="B40" s="16" t="n">
        <f aca="false">$B$12*$B$13/$B$14*$B$15</f>
        <v>5.13333333333333</v>
      </c>
    </row>
    <row r="41" customFormat="false" ht="15" hidden="false" customHeight="false" outlineLevel="0" collapsed="false">
      <c r="A41" s="5" t="s">
        <v>57</v>
      </c>
      <c r="B41" s="17" t="n">
        <f aca="false">$B$38*$B$16</f>
        <v>1540000</v>
      </c>
    </row>
    <row r="42" customFormat="false" ht="15" hidden="false" customHeight="false" outlineLevel="0" collapsed="false">
      <c r="A42" s="5" t="s">
        <v>58</v>
      </c>
      <c r="B42" s="17" t="n">
        <f aca="false">$B$39*$B$17</f>
        <v>1026666.66666667</v>
      </c>
    </row>
    <row r="43" customFormat="false" ht="15" hidden="false" customHeight="false" outlineLevel="0" collapsed="false">
      <c r="A43" s="5" t="s">
        <v>59</v>
      </c>
      <c r="B43" s="17" t="n">
        <f aca="false">$B$40*$B$18</f>
        <v>282333.333333333</v>
      </c>
    </row>
    <row r="44" customFormat="false" ht="15" hidden="false" customHeight="false" outlineLevel="0" collapsed="false">
      <c r="A44" s="5" t="s">
        <v>60</v>
      </c>
      <c r="B44" s="17" t="n">
        <f aca="false">$B$19</f>
        <v>150000</v>
      </c>
    </row>
    <row r="45" customFormat="false" ht="15" hidden="false" customHeight="false" outlineLevel="0" collapsed="false">
      <c r="A45" s="5" t="s">
        <v>61</v>
      </c>
      <c r="B45" s="17" t="n">
        <f aca="false">$B$37*$B$22</f>
        <v>2336000</v>
      </c>
    </row>
    <row r="46" customFormat="false" ht="15" hidden="false" customHeight="false" outlineLevel="0" collapsed="false">
      <c r="A46" s="5" t="s">
        <v>62</v>
      </c>
      <c r="B46" s="17" t="n">
        <f aca="false">$B$37*$B$23</f>
        <v>350400</v>
      </c>
    </row>
    <row r="47" customFormat="false" ht="15" hidden="false" customHeight="false" outlineLevel="0" collapsed="false">
      <c r="A47" s="5" t="s">
        <v>63</v>
      </c>
      <c r="B47" s="17" t="n">
        <f aca="false">$B$24*$B$25</f>
        <v>250000</v>
      </c>
    </row>
    <row r="48" customFormat="false" ht="15" hidden="false" customHeight="false" outlineLevel="0" collapsed="false">
      <c r="A48" s="5" t="s">
        <v>64</v>
      </c>
      <c r="B48" s="17" t="n">
        <f aca="false">$B$26</f>
        <v>600000</v>
      </c>
    </row>
    <row r="49" customFormat="false" ht="15" hidden="false" customHeight="false" outlineLevel="0" collapsed="false">
      <c r="A49" s="5" t="s">
        <v>65</v>
      </c>
      <c r="B49" s="17" t="n">
        <f aca="false">$B$37*$B$27</f>
        <v>584000</v>
      </c>
    </row>
    <row r="50" customFormat="false" ht="15" hidden="false" customHeight="false" outlineLevel="0" collapsed="false">
      <c r="A50" s="18" t="s">
        <v>66</v>
      </c>
      <c r="B50" s="19" t="n">
        <f aca="false">SUM(B41:B49)</f>
        <v>7119400</v>
      </c>
    </row>
    <row r="51" customFormat="false" ht="15" hidden="false" customHeight="false" outlineLevel="0" collapsed="false">
      <c r="A51" s="14" t="s">
        <v>67</v>
      </c>
      <c r="B51" s="20" t="n">
        <f aca="false">$B$37-$B$50</f>
        <v>4560600</v>
      </c>
    </row>
    <row r="52" customFormat="false" ht="15" hidden="false" customHeight="false" outlineLevel="0" collapsed="false">
      <c r="A52" s="14" t="s">
        <v>68</v>
      </c>
      <c r="B52" s="21" t="n">
        <f aca="false">IF($B$37=0,0,$B$51/$B$37)</f>
        <v>0.390462328767123</v>
      </c>
    </row>
    <row r="53" customFormat="false" ht="15" hidden="false" customHeight="false" outlineLevel="0" collapsed="false">
      <c r="A53" s="5" t="s">
        <v>69</v>
      </c>
      <c r="B53" s="22" t="n">
        <f aca="false">IF($B$37=0,0,SUM(B41:B44)/$B$37)</f>
        <v>0.256763698630137</v>
      </c>
    </row>
    <row r="55" customFormat="false" ht="15" hidden="false" customHeight="false" outlineLevel="0" collapsed="false">
      <c r="A55" s="3" t="s">
        <v>70</v>
      </c>
      <c r="B55" s="4"/>
      <c r="C55" s="3" t="s">
        <v>3</v>
      </c>
    </row>
    <row r="56" customFormat="false" ht="15" hidden="false" customHeight="false" outlineLevel="0" collapsed="false">
      <c r="A56" s="5" t="s">
        <v>71</v>
      </c>
      <c r="B56" s="17" t="n">
        <f aca="false">MAX(0,$B$24*$B$30-$B$31)</f>
        <v>1750000</v>
      </c>
    </row>
    <row r="57" customFormat="false" ht="15" hidden="false" customHeight="false" outlineLevel="0" collapsed="false">
      <c r="A57" s="14" t="s">
        <v>72</v>
      </c>
      <c r="B57" s="20" t="n">
        <f aca="false">$B$56+$B$32+$B$33+$B$34</f>
        <v>3150000</v>
      </c>
    </row>
    <row r="58" customFormat="false" ht="15" hidden="false" customHeight="false" outlineLevel="0" collapsed="false">
      <c r="A58" s="14" t="s">
        <v>73</v>
      </c>
      <c r="B58" s="23" t="n">
        <f aca="false">IF($B$51&lt;=0,"Never",$B$57/$B$51)</f>
        <v>0.690698592290488</v>
      </c>
    </row>
    <row r="59" customFormat="false" ht="15" hidden="false" customHeight="false" outlineLevel="0" collapsed="false">
      <c r="A59" s="5" t="s">
        <v>74</v>
      </c>
      <c r="B59" s="22" t="n">
        <f aca="false">IF($B$57=0,0,$B$51/$B$57)</f>
        <v>1.44780952380952</v>
      </c>
      <c r="C59" s="7" t="s">
        <v>75</v>
      </c>
    </row>
    <row r="60" customFormat="false" ht="15" hidden="false" customHeight="false" outlineLevel="0" collapsed="false">
      <c r="A60" s="14" t="s">
        <v>76</v>
      </c>
      <c r="B60" s="24" t="n">
        <f aca="false">($B$50-$B$37*($B$22+$B$23+$B$27))/($B$5*$B$7*(1-$B$22-$B$23-$B$27))</f>
        <v>7.32305936073059</v>
      </c>
      <c r="C60" s="7" t="s">
        <v>77</v>
      </c>
    </row>
    <row r="62" customFormat="false" ht="15" hidden="false" customHeight="false" outlineLevel="0" collapsed="false">
      <c r="A62" s="3" t="s">
        <v>78</v>
      </c>
      <c r="B62" s="4"/>
      <c r="C62" s="3"/>
    </row>
    <row r="63" customFormat="false" ht="15" hidden="false" customHeight="false" outlineLevel="0" collapsed="false">
      <c r="A63" s="14" t="s">
        <v>79</v>
      </c>
      <c r="D63" s="25" t="n">
        <v>1500</v>
      </c>
      <c r="E63" s="25" t="n">
        <v>1750</v>
      </c>
      <c r="F63" s="25" t="n">
        <v>2000</v>
      </c>
      <c r="G63" s="25" t="n">
        <v>2250</v>
      </c>
      <c r="H63" s="25" t="n">
        <v>2500</v>
      </c>
    </row>
    <row r="64" customFormat="false" ht="15" hidden="false" customHeight="false" outlineLevel="0" collapsed="false">
      <c r="A64" s="26" t="s">
        <v>80</v>
      </c>
      <c r="C64" s="27" t="n">
        <v>8</v>
      </c>
      <c r="D64" s="17" t="n">
        <f aca="false">D$63*$C64*$B$7*(1-$B$22-$B$23-$B$27)-(SUM($B$41:$B$44)+$B$47+$B$48)</f>
        <v>-695400.000000001</v>
      </c>
      <c r="E64" s="17" t="n">
        <f aca="false">E$63*$C64*$B$7*(1-$B$22-$B$23-$B$27)-(SUM($B$41:$B$44)+$B$47+$B$48)</f>
        <v>-169800</v>
      </c>
      <c r="F64" s="17" t="n">
        <f aca="false">F$63*$C64*$B$7*(1-$B$22-$B$23-$B$27)-(SUM($B$41:$B$44)+$B$47+$B$48)</f>
        <v>355800</v>
      </c>
      <c r="G64" s="17" t="n">
        <f aca="false">G$63*$C64*$B$7*(1-$B$22-$B$23-$B$27)-(SUM($B$41:$B$44)+$B$47+$B$48)</f>
        <v>881400</v>
      </c>
      <c r="H64" s="17" t="n">
        <f aca="false">H$63*$C64*$B$7*(1-$B$22-$B$23-$B$27)-(SUM($B$41:$B$44)+$B$47+$B$48)</f>
        <v>1407000</v>
      </c>
    </row>
    <row r="65" customFormat="false" ht="15" hidden="false" customHeight="false" outlineLevel="0" collapsed="false">
      <c r="A65" s="26" t="s">
        <v>81</v>
      </c>
      <c r="C65" s="27" t="n">
        <v>10</v>
      </c>
      <c r="D65" s="17" t="n">
        <f aca="false">D$63*$C65*$B$7*(1-$B$22-$B$23-$B$27)-(SUM($B$41:$B$44)+$B$47+$B$48)</f>
        <v>92999.9999999995</v>
      </c>
      <c r="E65" s="17" t="n">
        <f aca="false">E$63*$C65*$B$7*(1-$B$22-$B$23-$B$27)-(SUM($B$41:$B$44)+$B$47+$B$48)</f>
        <v>750000</v>
      </c>
      <c r="F65" s="17" t="n">
        <f aca="false">F$63*$C65*$B$7*(1-$B$22-$B$23-$B$27)-(SUM($B$41:$B$44)+$B$47+$B$48)</f>
        <v>1407000</v>
      </c>
      <c r="G65" s="17" t="n">
        <f aca="false">G$63*$C65*$B$7*(1-$B$22-$B$23-$B$27)-(SUM($B$41:$B$44)+$B$47+$B$48)</f>
        <v>2064000</v>
      </c>
      <c r="H65" s="17" t="n">
        <f aca="false">H$63*$C65*$B$7*(1-$B$22-$B$23-$B$27)-(SUM($B$41:$B$44)+$B$47+$B$48)</f>
        <v>2721000</v>
      </c>
    </row>
    <row r="66" customFormat="false" ht="15" hidden="false" customHeight="false" outlineLevel="0" collapsed="false">
      <c r="C66" s="27" t="n">
        <v>12</v>
      </c>
      <c r="D66" s="17" t="n">
        <f aca="false">D$63*$C66*$B$7*(1-$B$22-$B$23-$B$27)-(SUM($B$41:$B$44)+$B$47+$B$48)</f>
        <v>881400</v>
      </c>
      <c r="E66" s="17" t="n">
        <f aca="false">E$63*$C66*$B$7*(1-$B$22-$B$23-$B$27)-(SUM($B$41:$B$44)+$B$47+$B$48)</f>
        <v>1669800</v>
      </c>
      <c r="F66" s="17" t="n">
        <f aca="false">F$63*$C66*$B$7*(1-$B$22-$B$23-$B$27)-(SUM($B$41:$B$44)+$B$47+$B$48)</f>
        <v>2458200</v>
      </c>
      <c r="G66" s="17" t="n">
        <f aca="false">G$63*$C66*$B$7*(1-$B$22-$B$23-$B$27)-(SUM($B$41:$B$44)+$B$47+$B$48)</f>
        <v>3246600</v>
      </c>
      <c r="H66" s="17" t="n">
        <f aca="false">H$63*$C66*$B$7*(1-$B$22-$B$23-$B$27)-(SUM($B$41:$B$44)+$B$47+$B$48)</f>
        <v>4035000</v>
      </c>
    </row>
    <row r="67" customFormat="false" ht="15" hidden="false" customHeight="false" outlineLevel="0" collapsed="false">
      <c r="C67" s="27" t="n">
        <v>14</v>
      </c>
      <c r="D67" s="17" t="n">
        <f aca="false">D$63*$C67*$B$7*(1-$B$22-$B$23-$B$27)-(SUM($B$41:$B$44)+$B$47+$B$48)</f>
        <v>1669800</v>
      </c>
      <c r="E67" s="17" t="n">
        <f aca="false">E$63*$C67*$B$7*(1-$B$22-$B$23-$B$27)-(SUM($B$41:$B$44)+$B$47+$B$48)</f>
        <v>2589600</v>
      </c>
      <c r="F67" s="17" t="n">
        <f aca="false">F$63*$C67*$B$7*(1-$B$22-$B$23-$B$27)-(SUM($B$41:$B$44)+$B$47+$B$48)</f>
        <v>3509400</v>
      </c>
      <c r="G67" s="17" t="n">
        <f aca="false">G$63*$C67*$B$7*(1-$B$22-$B$23-$B$27)-(SUM($B$41:$B$44)+$B$47+$B$48)</f>
        <v>4429200</v>
      </c>
      <c r="H67" s="17" t="n">
        <f aca="false">H$63*$C67*$B$7*(1-$B$22-$B$23-$B$27)-(SUM($B$41:$B$44)+$B$47+$B$48)</f>
        <v>5349000</v>
      </c>
    </row>
    <row r="68" customFormat="false" ht="15" hidden="false" customHeight="false" outlineLevel="0" collapsed="false">
      <c r="C68" s="27" t="n">
        <v>16</v>
      </c>
      <c r="D68" s="17" t="n">
        <f aca="false">D$63*$C68*$B$7*(1-$B$22-$B$23-$B$27)-(SUM($B$41:$B$44)+$B$47+$B$48)</f>
        <v>2458200</v>
      </c>
      <c r="E68" s="17" t="n">
        <f aca="false">E$63*$C68*$B$7*(1-$B$22-$B$23-$B$27)-(SUM($B$41:$B$44)+$B$47+$B$48)</f>
        <v>3509400</v>
      </c>
      <c r="F68" s="17" t="n">
        <f aca="false">F$63*$C68*$B$7*(1-$B$22-$B$23-$B$27)-(SUM($B$41:$B$44)+$B$47+$B$48)</f>
        <v>4560600</v>
      </c>
      <c r="G68" s="17" t="n">
        <f aca="false">G$63*$C68*$B$7*(1-$B$22-$B$23-$B$27)-(SUM($B$41:$B$44)+$B$47+$B$48)</f>
        <v>5611800</v>
      </c>
      <c r="H68" s="17" t="n">
        <f aca="false">H$63*$C68*$B$7*(1-$B$22-$B$23-$B$27)-(SUM($B$41:$B$44)+$B$47+$B$48)</f>
        <v>6663000</v>
      </c>
    </row>
    <row r="69" customFormat="false" ht="15" hidden="false" customHeight="false" outlineLevel="0" collapsed="false">
      <c r="C69" s="27" t="n">
        <v>18</v>
      </c>
      <c r="D69" s="17" t="n">
        <f aca="false">D$63*$C69*$B$7*(1-$B$22-$B$23-$B$27)-(SUM($B$41:$B$44)+$B$47+$B$48)</f>
        <v>3246600</v>
      </c>
      <c r="E69" s="17" t="n">
        <f aca="false">E$63*$C69*$B$7*(1-$B$22-$B$23-$B$27)-(SUM($B$41:$B$44)+$B$47+$B$48)</f>
        <v>4429200</v>
      </c>
      <c r="F69" s="17" t="n">
        <f aca="false">F$63*$C69*$B$7*(1-$B$22-$B$23-$B$27)-(SUM($B$41:$B$44)+$B$47+$B$48)</f>
        <v>5611800</v>
      </c>
      <c r="G69" s="17" t="n">
        <f aca="false">G$63*$C69*$B$7*(1-$B$22-$B$23-$B$27)-(SUM($B$41:$B$44)+$B$47+$B$48)</f>
        <v>6794400</v>
      </c>
      <c r="H69" s="17" t="n">
        <f aca="false">H$63*$C69*$B$7*(1-$B$22-$B$23-$B$27)-(SUM($B$41:$B$44)+$B$47+$B$48)</f>
        <v>7977000</v>
      </c>
    </row>
    <row r="70" customFormat="false" ht="15" hidden="false" customHeight="false" outlineLevel="0" collapsed="false">
      <c r="C70" s="27" t="n">
        <v>20</v>
      </c>
      <c r="D70" s="17" t="n">
        <f aca="false">D$63*$C70*$B$7*(1-$B$22-$B$23-$B$27)-(SUM($B$41:$B$44)+$B$47+$B$48)</f>
        <v>4035000</v>
      </c>
      <c r="E70" s="17" t="n">
        <f aca="false">E$63*$C70*$B$7*(1-$B$22-$B$23-$B$27)-(SUM($B$41:$B$44)+$B$47+$B$48)</f>
        <v>5349000</v>
      </c>
      <c r="F70" s="17" t="n">
        <f aca="false">F$63*$C70*$B$7*(1-$B$22-$B$23-$B$27)-(SUM($B$41:$B$44)+$B$47+$B$48)</f>
        <v>6663000</v>
      </c>
      <c r="G70" s="17" t="n">
        <f aca="false">G$63*$C70*$B$7*(1-$B$22-$B$23-$B$27)-(SUM($B$41:$B$44)+$B$47+$B$48)</f>
        <v>7977000</v>
      </c>
      <c r="H70" s="17" t="n">
        <f aca="false">H$63*$C70*$B$7*(1-$B$22-$B$23-$B$27)-(SUM($B$41:$B$44)+$B$47+$B$48)</f>
        <v>9291000</v>
      </c>
    </row>
    <row r="71" customFormat="false" ht="15" hidden="false" customHeight="false" outlineLevel="0" collapsed="false">
      <c r="C71" s="27" t="n">
        <v>24</v>
      </c>
      <c r="D71" s="17" t="n">
        <f aca="false">D$63*$C71*$B$7*(1-$B$22-$B$23-$B$27)-(SUM($B$41:$B$44)+$B$47+$B$48)</f>
        <v>5611800</v>
      </c>
      <c r="E71" s="17" t="n">
        <f aca="false">E$63*$C71*$B$7*(1-$B$22-$B$23-$B$27)-(SUM($B$41:$B$44)+$B$47+$B$48)</f>
        <v>7188600</v>
      </c>
      <c r="F71" s="17" t="n">
        <f aca="false">F$63*$C71*$B$7*(1-$B$22-$B$23-$B$27)-(SUM($B$41:$B$44)+$B$47+$B$48)</f>
        <v>8765400</v>
      </c>
      <c r="G71" s="17" t="n">
        <f aca="false">G$63*$C71*$B$7*(1-$B$22-$B$23-$B$27)-(SUM($B$41:$B$44)+$B$47+$B$48)</f>
        <v>10342200</v>
      </c>
      <c r="H71" s="17" t="n">
        <f aca="false">H$63*$C71*$B$7*(1-$B$22-$B$23-$B$27)-(SUM($B$41:$B$44)+$B$47+$B$48)</f>
        <v>11919000</v>
      </c>
    </row>
    <row r="73" customFormat="false" ht="15" hidden="false" customHeight="false" outlineLevel="0" collapsed="false">
      <c r="A73" s="26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2026-10-19T12:38:47Z</dcterms:created>
  <dc:creator>openpyxl</dc:creator>
  <dc:description/>
  <dc:language>en-US</dc:language>
  <cp:lastModifiedBy/>
  <dcterms:modified xsi:type="dcterms:W3CDTF">2026-10-19T12:38:47Z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